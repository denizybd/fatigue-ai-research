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71947\Desktop\Flat and Cylindrical paper\UPDATED\VPP submission\1st VPP submission\"/>
    </mc:Choice>
  </mc:AlternateContent>
  <xr:revisionPtr revIDLastSave="0" documentId="13_ncr:1_{BC395B60-7E42-4400-B19A-557C536B0217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ummary" sheetId="1" r:id="rId1"/>
    <sheet name="Surface roughness" sheetId="2" r:id="rId2"/>
    <sheet name="XCT-resolved defect volume frac" sheetId="3" r:id="rId3"/>
    <sheet name="Experimental fatigue data and B" sheetId="4" r:id="rId4"/>
    <sheet name="Finite element analysis resul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4" l="1"/>
  <c r="L11" i="4"/>
  <c r="B18" i="3"/>
  <c r="B17" i="3"/>
  <c r="R5" i="4"/>
  <c r="L5" i="4"/>
  <c r="R3" i="4"/>
  <c r="R4" i="4" s="1"/>
  <c r="R2" i="4"/>
  <c r="L3" i="4"/>
  <c r="L4" i="4" s="1"/>
  <c r="L2" i="4"/>
  <c r="E6" i="3" l="1"/>
  <c r="E2" i="3"/>
  <c r="E6" i="2"/>
  <c r="E2" i="2"/>
</calcChain>
</file>

<file path=xl/sharedStrings.xml><?xml version="1.0" encoding="utf-8"?>
<sst xmlns="http://schemas.openxmlformats.org/spreadsheetml/2006/main" count="73" uniqueCount="56">
  <si>
    <t>Comprehensive fatigue assessment of as-built flat and cylindrical LPBF 316L stainless steel specimens for qualification testing</t>
  </si>
  <si>
    <t>Surface roughness</t>
  </si>
  <si>
    <t>XCT-resolved defect volume fraction</t>
  </si>
  <si>
    <t>Specimen</t>
  </si>
  <si>
    <t>Flat</t>
  </si>
  <si>
    <t>Cylindrical</t>
  </si>
  <si>
    <t>Flat F4</t>
  </si>
  <si>
    <t>Flat F3</t>
  </si>
  <si>
    <t>Flat F2</t>
  </si>
  <si>
    <t>Flat F1</t>
  </si>
  <si>
    <t>Cylindrical C4</t>
  </si>
  <si>
    <t>Cylindrical C3</t>
  </si>
  <si>
    <t>Cylindrical C2</t>
  </si>
  <si>
    <t>Cylindrical C1</t>
  </si>
  <si>
    <t>Sa (um)</t>
  </si>
  <si>
    <t>Median Sa (um)</t>
  </si>
  <si>
    <t>Median defect volume fraction (%)</t>
  </si>
  <si>
    <t>Flat Nf</t>
  </si>
  <si>
    <t>Flat Sr (MPa)</t>
  </si>
  <si>
    <t>Cylindrical Nf</t>
  </si>
  <si>
    <t>Cylindrical Sr (MPa)</t>
  </si>
  <si>
    <t>Experimental fatigue data and Basquin parameters</t>
  </si>
  <si>
    <t>Flat logN</t>
  </si>
  <si>
    <t>Flat LogSr</t>
  </si>
  <si>
    <t>cyl logN</t>
  </si>
  <si>
    <t>cyl LogSr</t>
  </si>
  <si>
    <t>b_flat</t>
  </si>
  <si>
    <t>intercept</t>
  </si>
  <si>
    <t>a_flat</t>
  </si>
  <si>
    <t>b_cyl</t>
  </si>
  <si>
    <t>a_cyl</t>
  </si>
  <si>
    <t>R2</t>
  </si>
  <si>
    <t>Exact Two-Sided Mann–Whitney U Test: Defect Volume Fraction</t>
  </si>
  <si>
    <t>n_flat</t>
  </si>
  <si>
    <t>n_cyl</t>
  </si>
  <si>
    <t>n_flat(n_flat+1)/2</t>
  </si>
  <si>
    <t>n_cyl(n_cyl+1)/2</t>
  </si>
  <si>
    <t>U_flat = R_flat − n_flat(n_flat+1)/2</t>
  </si>
  <si>
    <t>U_cyl = R_cyl − n_cyl(n_cyl+1)/2</t>
  </si>
  <si>
    <t>Possible allocations of 4 ranks from 8</t>
  </si>
  <si>
    <t>Number of allocations in lower tail</t>
  </si>
  <si>
    <t>Number of allocations in upper tail</t>
  </si>
  <si>
    <t>Exact two-sided p</t>
  </si>
  <si>
    <t xml:space="preserve">Observed lower-tail cutoff </t>
  </si>
  <si>
    <t xml:space="preserve">Observed upper-tail cutoff </t>
  </si>
  <si>
    <t>Stress bin upper bound (MPa)</t>
  </si>
  <si>
    <t>Cylindrical volume fraction (%)</t>
  </si>
  <si>
    <t>Flat volume fraction (%)</t>
  </si>
  <si>
    <t>Element count in archived element-level export</t>
  </si>
  <si>
    <t>Elements having the stress over 95% max stress</t>
  </si>
  <si>
    <r>
      <rPr>
        <i/>
        <sz val="11"/>
        <color theme="1"/>
        <rFont val="Times New Roman"/>
        <family val="1"/>
      </rPr>
      <t>f</t>
    </r>
    <r>
      <rPr>
        <i/>
        <vertAlign val="subscript"/>
        <sz val="11"/>
        <color theme="1"/>
        <rFont val="Times New Roman"/>
        <family val="1"/>
      </rPr>
      <t>95</t>
    </r>
    <r>
      <rPr>
        <sz val="11"/>
        <color theme="1"/>
        <rFont val="Times New Roman"/>
        <family val="1"/>
      </rPr>
      <t xml:space="preserve"> reproduced from element count  (%)</t>
    </r>
  </si>
  <si>
    <t>Max stress (MPa)</t>
  </si>
  <si>
    <t>Nf</t>
  </si>
  <si>
    <t>Predicted Sr (MPa)</t>
  </si>
  <si>
    <t>Finite element analysis results</t>
  </si>
  <si>
    <t>Defect volume fraction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</si>
</sst>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"/>
  </numFmts>
  <fonts count="7">
    <font>
      <sz val="11"/>
      <color theme="1"/>
      <name val="Calibri"/>
      <charset val="134"/>
      <scheme val="minor"/>
    </font>
    <font>
      <sz val="11"/>
      <name val="Carlito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2" fillId="0" borderId="0" xfId="1" applyFont="1"/>
    <xf numFmtId="0" fontId="3" fillId="0" borderId="0" xfId="0" applyFont="1">
      <alignment vertical="center"/>
    </xf>
    <xf numFmtId="2" fontId="3" fillId="0" borderId="0" xfId="0" applyNumberFormat="1" applyFont="1">
      <alignment vertical="center"/>
    </xf>
    <xf numFmtId="164" fontId="3" fillId="0" borderId="0" xfId="0" applyNumberFormat="1" applyFont="1">
      <alignment vertical="center"/>
    </xf>
    <xf numFmtId="165" fontId="3" fillId="0" borderId="0" xfId="0" applyNumberFormat="1" applyFont="1">
      <alignment vertical="center"/>
    </xf>
    <xf numFmtId="0" fontId="4" fillId="0" borderId="0" xfId="0" applyFont="1">
      <alignment vertical="center"/>
    </xf>
    <xf numFmtId="166" fontId="3" fillId="0" borderId="0" xfId="0" applyNumberFormat="1" applyFont="1">
      <alignment vertical="center"/>
    </xf>
  </cellXfs>
  <cellStyles count="2">
    <cellStyle name="Normal" xfId="0" builtinId="0"/>
    <cellStyle name="Normal 2" xfId="1" xr:uid="{13AA9B26-D91E-4E62-A4EB-2F8CA8C17E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B5" sqref="B5"/>
    </sheetView>
  </sheetViews>
  <sheetFormatPr defaultColWidth="9" defaultRowHeight="14.4"/>
  <cols>
    <col min="1" max="1" width="15" customWidth="1"/>
    <col min="2" max="2" width="46" customWidth="1"/>
  </cols>
  <sheetData>
    <row r="1" spans="1:8">
      <c r="A1" s="1" t="s">
        <v>0</v>
      </c>
      <c r="B1" s="1"/>
      <c r="C1" s="2"/>
      <c r="D1" s="2"/>
      <c r="E1" s="2"/>
      <c r="F1" s="2"/>
      <c r="G1" s="2"/>
      <c r="H1" s="2"/>
    </row>
    <row r="2" spans="1:8">
      <c r="A2" s="2">
        <v>1</v>
      </c>
      <c r="B2" s="2" t="s">
        <v>1</v>
      </c>
      <c r="C2" s="2"/>
      <c r="D2" s="2"/>
      <c r="E2" s="2"/>
      <c r="F2" s="2"/>
      <c r="G2" s="2"/>
      <c r="H2" s="2"/>
    </row>
    <row r="3" spans="1:8">
      <c r="A3" s="2">
        <v>2</v>
      </c>
      <c r="B3" s="2" t="s">
        <v>2</v>
      </c>
      <c r="C3" s="2"/>
      <c r="D3" s="2"/>
      <c r="E3" s="2"/>
      <c r="F3" s="2"/>
      <c r="G3" s="2"/>
      <c r="H3" s="2"/>
    </row>
    <row r="4" spans="1:8">
      <c r="A4" s="2">
        <v>3</v>
      </c>
      <c r="B4" s="2" t="s">
        <v>21</v>
      </c>
      <c r="C4" s="2"/>
      <c r="D4" s="2"/>
      <c r="E4" s="2"/>
      <c r="F4" s="2"/>
      <c r="G4" s="2"/>
      <c r="H4" s="2"/>
    </row>
    <row r="5" spans="1:8">
      <c r="A5" s="2">
        <v>4</v>
      </c>
      <c r="B5" s="2" t="s">
        <v>54</v>
      </c>
      <c r="C5" s="2"/>
      <c r="D5" s="2"/>
      <c r="E5" s="2"/>
      <c r="F5" s="2"/>
      <c r="G5" s="2"/>
      <c r="H5" s="2"/>
    </row>
    <row r="6" spans="1:8">
      <c r="C6" s="2"/>
      <c r="D6" s="2"/>
      <c r="E6" s="2"/>
      <c r="F6" s="2"/>
      <c r="G6" s="2"/>
      <c r="H6" s="2"/>
    </row>
    <row r="7" spans="1:8">
      <c r="H7" s="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D12" sqref="D12"/>
    </sheetView>
  </sheetViews>
  <sheetFormatPr defaultColWidth="9" defaultRowHeight="14.4"/>
  <cols>
    <col min="1" max="1" width="16.109375" customWidth="1"/>
    <col min="2" max="2" width="15.44140625" customWidth="1"/>
    <col min="5" max="5" width="21.33203125" customWidth="1"/>
  </cols>
  <sheetData>
    <row r="1" spans="1:8">
      <c r="A1" s="2" t="s">
        <v>3</v>
      </c>
      <c r="B1" s="2" t="s">
        <v>14</v>
      </c>
      <c r="C1" s="2"/>
      <c r="D1" s="2"/>
      <c r="E1" s="2" t="s">
        <v>15</v>
      </c>
      <c r="F1" s="2"/>
      <c r="G1" s="2"/>
      <c r="H1" s="2"/>
    </row>
    <row r="2" spans="1:8">
      <c r="A2" s="2" t="s">
        <v>6</v>
      </c>
      <c r="B2" s="2">
        <v>6.71</v>
      </c>
      <c r="C2" s="2"/>
      <c r="D2" s="2" t="s">
        <v>4</v>
      </c>
      <c r="E2" s="3">
        <f>MEDIAN(B2:B5)</f>
        <v>6.2949999999999999</v>
      </c>
      <c r="F2" s="2"/>
      <c r="G2" s="2"/>
      <c r="H2" s="2"/>
    </row>
    <row r="3" spans="1:8">
      <c r="A3" s="2" t="s">
        <v>7</v>
      </c>
      <c r="B3" s="2">
        <v>7.49</v>
      </c>
      <c r="C3" s="2"/>
      <c r="D3" s="2"/>
      <c r="E3" s="2"/>
      <c r="F3" s="2"/>
      <c r="G3" s="2"/>
      <c r="H3" s="2"/>
    </row>
    <row r="4" spans="1:8">
      <c r="A4" s="2" t="s">
        <v>8</v>
      </c>
      <c r="B4" s="2">
        <v>5.88</v>
      </c>
      <c r="C4" s="2"/>
      <c r="D4" s="2"/>
      <c r="E4" s="2"/>
      <c r="F4" s="2"/>
      <c r="G4" s="2"/>
      <c r="H4" s="2"/>
    </row>
    <row r="5" spans="1:8">
      <c r="A5" s="2" t="s">
        <v>9</v>
      </c>
      <c r="B5" s="2">
        <v>5.27</v>
      </c>
      <c r="C5" s="2"/>
      <c r="D5" s="2"/>
      <c r="E5" s="2"/>
      <c r="F5" s="2"/>
      <c r="G5" s="2"/>
      <c r="H5" s="2"/>
    </row>
    <row r="6" spans="1:8">
      <c r="A6" s="2" t="s">
        <v>10</v>
      </c>
      <c r="B6" s="2">
        <v>6.51</v>
      </c>
      <c r="C6" s="2"/>
      <c r="D6" s="2" t="s">
        <v>5</v>
      </c>
      <c r="E6" s="2">
        <f>MEDIAN(B6:B9)</f>
        <v>6.92</v>
      </c>
      <c r="F6" s="2"/>
      <c r="G6" s="2"/>
      <c r="H6" s="2"/>
    </row>
    <row r="7" spans="1:8">
      <c r="A7" s="2" t="s">
        <v>11</v>
      </c>
      <c r="B7" s="2">
        <v>7.71</v>
      </c>
      <c r="C7" s="2"/>
      <c r="D7" s="2"/>
      <c r="E7" s="2"/>
      <c r="F7" s="2"/>
      <c r="G7" s="2"/>
      <c r="H7" s="2"/>
    </row>
    <row r="8" spans="1:8">
      <c r="A8" s="2" t="s">
        <v>12</v>
      </c>
      <c r="B8" s="2">
        <v>7.33</v>
      </c>
      <c r="C8" s="2"/>
      <c r="D8" s="2"/>
      <c r="E8" s="2"/>
      <c r="F8" s="2"/>
      <c r="G8" s="2"/>
    </row>
    <row r="9" spans="1:8">
      <c r="A9" s="2" t="s">
        <v>13</v>
      </c>
      <c r="B9" s="2">
        <v>4.83</v>
      </c>
      <c r="C9" s="2"/>
      <c r="D9" s="2"/>
      <c r="E9" s="2"/>
      <c r="F9" s="2"/>
      <c r="G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tabSelected="1" workbookViewId="0">
      <selection activeCell="E11" sqref="E11"/>
    </sheetView>
  </sheetViews>
  <sheetFormatPr defaultColWidth="9" defaultRowHeight="13.8"/>
  <cols>
    <col min="1" max="1" width="31.21875" style="2" customWidth="1"/>
    <col min="2" max="2" width="25" style="2" customWidth="1"/>
    <col min="3" max="3" width="23.6640625" style="2" customWidth="1"/>
    <col min="4" max="4" width="9" style="2"/>
    <col min="5" max="5" width="31.5546875" style="2" customWidth="1"/>
    <col min="6" max="16384" width="9" style="2"/>
  </cols>
  <sheetData>
    <row r="1" spans="1:5">
      <c r="A1" s="2" t="s">
        <v>3</v>
      </c>
      <c r="B1" s="2" t="s">
        <v>55</v>
      </c>
      <c r="E1" s="2" t="s">
        <v>16</v>
      </c>
    </row>
    <row r="2" spans="1:5">
      <c r="A2" s="2" t="s">
        <v>6</v>
      </c>
      <c r="B2" s="2">
        <v>1.6E-2</v>
      </c>
      <c r="D2" s="2" t="s">
        <v>4</v>
      </c>
      <c r="E2" s="2">
        <f>MEDIAN(B2:B5)</f>
        <v>5.6500000000000005E-3</v>
      </c>
    </row>
    <row r="3" spans="1:5">
      <c r="A3" s="2" t="s">
        <v>7</v>
      </c>
      <c r="B3" s="2">
        <v>1.9E-3</v>
      </c>
    </row>
    <row r="4" spans="1:5">
      <c r="A4" s="2" t="s">
        <v>8</v>
      </c>
      <c r="B4" s="2">
        <v>1E-3</v>
      </c>
    </row>
    <row r="5" spans="1:5">
      <c r="A5" s="2" t="s">
        <v>9</v>
      </c>
      <c r="B5" s="2">
        <v>9.4000000000000004E-3</v>
      </c>
    </row>
    <row r="6" spans="1:5">
      <c r="A6" s="2" t="s">
        <v>10</v>
      </c>
      <c r="B6" s="2">
        <v>1.2999999999999999E-2</v>
      </c>
      <c r="D6" s="2" t="s">
        <v>5</v>
      </c>
      <c r="E6" s="4">
        <f>MEDIAN(B6:B9)</f>
        <v>5.7850000000000002E-3</v>
      </c>
    </row>
    <row r="7" spans="1:5">
      <c r="A7" s="2" t="s">
        <v>11</v>
      </c>
      <c r="B7" s="2">
        <v>1.0999999999999999E-2</v>
      </c>
    </row>
    <row r="8" spans="1:5">
      <c r="A8" s="2" t="s">
        <v>12</v>
      </c>
      <c r="B8" s="2">
        <v>5.6999999999999998E-4</v>
      </c>
    </row>
    <row r="9" spans="1:5">
      <c r="A9" s="2" t="s">
        <v>13</v>
      </c>
      <c r="B9" s="2">
        <v>4.2999999999999999E-4</v>
      </c>
    </row>
    <row r="12" spans="1:5">
      <c r="A12" s="2" t="s">
        <v>32</v>
      </c>
    </row>
    <row r="13" spans="1:5">
      <c r="A13" s="2" t="s">
        <v>33</v>
      </c>
      <c r="B13" s="2">
        <v>4</v>
      </c>
    </row>
    <row r="14" spans="1:5">
      <c r="A14" s="2" t="s">
        <v>34</v>
      </c>
      <c r="B14" s="2">
        <v>4</v>
      </c>
    </row>
    <row r="15" spans="1:5">
      <c r="A15" s="2" t="s">
        <v>35</v>
      </c>
      <c r="B15" s="2">
        <v>10</v>
      </c>
    </row>
    <row r="16" spans="1:5">
      <c r="A16" s="2" t="s">
        <v>36</v>
      </c>
      <c r="B16" s="2">
        <v>10</v>
      </c>
    </row>
    <row r="17" spans="1:2">
      <c r="A17" s="2" t="s">
        <v>37</v>
      </c>
      <c r="B17" s="2">
        <f>20-B15</f>
        <v>10</v>
      </c>
    </row>
    <row r="18" spans="1:2">
      <c r="A18" s="2" t="s">
        <v>38</v>
      </c>
      <c r="B18" s="2">
        <f>16-B16</f>
        <v>6</v>
      </c>
    </row>
    <row r="19" spans="1:2">
      <c r="A19" s="2" t="s">
        <v>39</v>
      </c>
      <c r="B19" s="2">
        <v>70</v>
      </c>
    </row>
    <row r="20" spans="1:2">
      <c r="A20" s="2" t="s">
        <v>43</v>
      </c>
      <c r="B20" s="2">
        <v>6</v>
      </c>
    </row>
    <row r="21" spans="1:2">
      <c r="A21" s="2" t="s">
        <v>44</v>
      </c>
      <c r="B21" s="2">
        <v>10</v>
      </c>
    </row>
    <row r="22" spans="1:2">
      <c r="A22" s="2" t="s">
        <v>40</v>
      </c>
      <c r="B22" s="2">
        <v>24</v>
      </c>
    </row>
    <row r="23" spans="1:2">
      <c r="A23" s="2" t="s">
        <v>41</v>
      </c>
      <c r="B23" s="2">
        <v>24</v>
      </c>
    </row>
    <row r="24" spans="1:2">
      <c r="A24" s="2" t="s">
        <v>42</v>
      </c>
      <c r="B24" s="5">
        <v>0.68571428571428605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95E4-0FDC-45FF-8430-BDE0560ED871}">
  <dimension ref="A1:R11"/>
  <sheetViews>
    <sheetView workbookViewId="0">
      <selection activeCell="V15" sqref="V15"/>
    </sheetView>
  </sheetViews>
  <sheetFormatPr defaultRowHeight="13.8"/>
  <cols>
    <col min="1" max="1" width="13.44140625" style="2" customWidth="1"/>
    <col min="2" max="2" width="19.109375" style="2" customWidth="1"/>
    <col min="3" max="4" width="8.88671875" style="2"/>
    <col min="5" max="5" width="16.88671875" style="2" customWidth="1"/>
    <col min="6" max="6" width="22.44140625" style="2" customWidth="1"/>
    <col min="7" max="8" width="8.88671875" style="2"/>
    <col min="9" max="9" width="10.44140625" style="2" customWidth="1"/>
    <col min="10" max="10" width="11.5546875" style="2" customWidth="1"/>
    <col min="11" max="11" width="8.88671875" style="2"/>
    <col min="12" max="12" width="19.33203125" style="2" customWidth="1"/>
    <col min="13" max="17" width="8.88671875" style="2"/>
    <col min="18" max="18" width="16.5546875" style="2" customWidth="1"/>
    <col min="19" max="16384" width="8.88671875" style="2"/>
  </cols>
  <sheetData>
    <row r="1" spans="1:18">
      <c r="A1" s="2" t="s">
        <v>17</v>
      </c>
      <c r="B1" s="2" t="s">
        <v>18</v>
      </c>
      <c r="E1" s="2" t="s">
        <v>19</v>
      </c>
      <c r="F1" s="2" t="s">
        <v>20</v>
      </c>
      <c r="I1" s="2" t="s">
        <v>22</v>
      </c>
      <c r="J1" s="2" t="s">
        <v>23</v>
      </c>
      <c r="O1" s="2" t="s">
        <v>24</v>
      </c>
      <c r="P1" s="2" t="s">
        <v>25</v>
      </c>
    </row>
    <row r="2" spans="1:18">
      <c r="A2" s="2">
        <v>220634</v>
      </c>
      <c r="B2" s="2">
        <v>450</v>
      </c>
      <c r="E2" s="2">
        <v>191469</v>
      </c>
      <c r="F2" s="2">
        <v>450</v>
      </c>
      <c r="I2" s="2">
        <v>5.3436724386327077</v>
      </c>
      <c r="J2" s="2">
        <v>2.6532125137753435</v>
      </c>
      <c r="K2" s="2" t="s">
        <v>26</v>
      </c>
      <c r="L2" s="5">
        <f>SLOPE(J2:J9,I2:I9)</f>
        <v>-8.9632824121340882E-2</v>
      </c>
      <c r="O2" s="2">
        <v>5.2820984690682886</v>
      </c>
      <c r="P2" s="2">
        <v>2.6532125137753435</v>
      </c>
      <c r="Q2" s="2" t="s">
        <v>29</v>
      </c>
      <c r="R2" s="5">
        <f>SLOPE(P2:P7,O2:O7)</f>
        <v>-0.18821594781440795</v>
      </c>
    </row>
    <row r="3" spans="1:18">
      <c r="A3" s="2">
        <v>94878</v>
      </c>
      <c r="B3" s="2">
        <v>500</v>
      </c>
      <c r="E3" s="2">
        <v>151643</v>
      </c>
      <c r="F3" s="2">
        <v>500</v>
      </c>
      <c r="I3" s="2">
        <v>4.9771655213182635</v>
      </c>
      <c r="J3" s="2">
        <v>2.6989700043360187</v>
      </c>
      <c r="K3" s="2" t="s">
        <v>27</v>
      </c>
      <c r="L3" s="2">
        <f>INTERCEPT(J2:J9,I2:I9)</f>
        <v>3.1156148831292985</v>
      </c>
      <c r="O3" s="2">
        <v>5.1808223676203822</v>
      </c>
      <c r="P3" s="2">
        <v>2.6989700043360187</v>
      </c>
      <c r="Q3" s="2" t="s">
        <v>27</v>
      </c>
      <c r="R3" s="2">
        <f>INTERCEPT(P2:P7,O2:O7)</f>
        <v>3.6448905426778966</v>
      </c>
    </row>
    <row r="4" spans="1:18">
      <c r="A4" s="2">
        <v>970073</v>
      </c>
      <c r="B4" s="2">
        <v>380</v>
      </c>
      <c r="E4" s="2">
        <v>375415</v>
      </c>
      <c r="F4" s="2">
        <v>400</v>
      </c>
      <c r="I4" s="2">
        <v>5.9868044170541541</v>
      </c>
      <c r="J4" s="2">
        <v>2.5797835966168101</v>
      </c>
      <c r="K4" s="2" t="s">
        <v>28</v>
      </c>
      <c r="L4" s="3">
        <f>10^L3</f>
        <v>1305.0131357355954</v>
      </c>
      <c r="O4" s="2">
        <v>5.5745116212077637</v>
      </c>
      <c r="P4" s="2">
        <v>2.6020599913279625</v>
      </c>
      <c r="Q4" s="2" t="s">
        <v>30</v>
      </c>
      <c r="R4" s="3">
        <f>10^R3</f>
        <v>4414.591702581647</v>
      </c>
    </row>
    <row r="5" spans="1:18">
      <c r="A5" s="2">
        <v>489413</v>
      </c>
      <c r="B5" s="2">
        <v>400</v>
      </c>
      <c r="E5" s="2">
        <v>67714</v>
      </c>
      <c r="F5" s="2">
        <v>525</v>
      </c>
      <c r="I5" s="2">
        <v>5.6896755010870423</v>
      </c>
      <c r="J5" s="2">
        <v>2.6020599913279625</v>
      </c>
      <c r="K5" s="2" t="s">
        <v>31</v>
      </c>
      <c r="L5" s="3">
        <f>RSQ(J2:J9,I2:I9)</f>
        <v>0.77040906289793765</v>
      </c>
      <c r="O5" s="2">
        <v>4.8306784691897935</v>
      </c>
      <c r="P5" s="2">
        <v>2.720159303405957</v>
      </c>
      <c r="Q5" s="2" t="s">
        <v>31</v>
      </c>
      <c r="R5" s="3">
        <f>RSQ(P2:P7,O2:O7)</f>
        <v>0.94842293042195791</v>
      </c>
    </row>
    <row r="6" spans="1:18">
      <c r="A6" s="2">
        <v>1718788</v>
      </c>
      <c r="B6" s="2">
        <v>375</v>
      </c>
      <c r="E6" s="2">
        <v>491700</v>
      </c>
      <c r="F6" s="2">
        <v>350</v>
      </c>
      <c r="I6" s="2">
        <v>6.2352223129243773</v>
      </c>
      <c r="J6" s="2">
        <v>2.5740312677277188</v>
      </c>
      <c r="O6" s="2">
        <v>5.6917002082901611</v>
      </c>
      <c r="P6" s="2">
        <v>2.5440680443502757</v>
      </c>
    </row>
    <row r="7" spans="1:18">
      <c r="A7" s="2">
        <v>206138</v>
      </c>
      <c r="B7" s="2">
        <v>400</v>
      </c>
      <c r="E7" s="2">
        <v>1465407</v>
      </c>
      <c r="F7" s="2">
        <v>310</v>
      </c>
      <c r="I7" s="2">
        <v>5.3141580581018664</v>
      </c>
      <c r="J7" s="2">
        <v>2.6020599913279625</v>
      </c>
      <c r="O7" s="2">
        <v>6.1659582617588162</v>
      </c>
      <c r="P7" s="2">
        <v>2.4913616938342726</v>
      </c>
    </row>
    <row r="8" spans="1:18">
      <c r="A8" s="2">
        <v>468165</v>
      </c>
      <c r="B8" s="2">
        <v>380</v>
      </c>
      <c r="I8" s="2">
        <v>5.6703989427330113</v>
      </c>
      <c r="J8" s="2">
        <v>2.5797835966168101</v>
      </c>
    </row>
    <row r="9" spans="1:18">
      <c r="A9" s="2">
        <v>1939153</v>
      </c>
      <c r="B9" s="2">
        <v>360</v>
      </c>
      <c r="I9" s="2">
        <v>6.2876120764507073</v>
      </c>
      <c r="J9" s="2">
        <v>2.5563025007672873</v>
      </c>
    </row>
    <row r="10" spans="1:18">
      <c r="K10" s="2" t="s">
        <v>52</v>
      </c>
      <c r="L10" s="2" t="s">
        <v>53</v>
      </c>
      <c r="Q10" s="2" t="s">
        <v>52</v>
      </c>
      <c r="R10" s="2" t="s">
        <v>53</v>
      </c>
    </row>
    <row r="11" spans="1:18">
      <c r="K11" s="2">
        <v>1000000</v>
      </c>
      <c r="L11" s="3">
        <f>1305.01*1000000^-0.09</f>
        <v>376.36899518952521</v>
      </c>
      <c r="Q11" s="2">
        <v>1000000</v>
      </c>
      <c r="R11" s="3">
        <f>4414.59*1000000^-0.188</f>
        <v>328.76863246856408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0EB42-AD04-4537-9DDB-7D4127F01C5F}">
  <dimension ref="A1:E46"/>
  <sheetViews>
    <sheetView topLeftCell="A31" workbookViewId="0">
      <selection activeCell="C52" sqref="C52"/>
    </sheetView>
  </sheetViews>
  <sheetFormatPr defaultRowHeight="13.8"/>
  <cols>
    <col min="1" max="1" width="32.88671875" style="2" customWidth="1"/>
    <col min="2" max="2" width="38.88671875" style="2" customWidth="1"/>
    <col min="3" max="3" width="45.33203125" style="2" customWidth="1"/>
    <col min="4" max="4" width="32.77734375" style="2" customWidth="1"/>
    <col min="5" max="5" width="17.6640625" style="2" customWidth="1"/>
    <col min="6" max="16384" width="8.88671875" style="2"/>
  </cols>
  <sheetData>
    <row r="1" spans="1:3">
      <c r="A1" s="6" t="s">
        <v>45</v>
      </c>
      <c r="B1" s="6" t="s">
        <v>46</v>
      </c>
      <c r="C1" s="6" t="s">
        <v>47</v>
      </c>
    </row>
    <row r="2" spans="1:3">
      <c r="A2" s="6">
        <v>50</v>
      </c>
      <c r="B2" s="6">
        <v>0</v>
      </c>
      <c r="C2" s="6">
        <v>0</v>
      </c>
    </row>
    <row r="3" spans="1:3">
      <c r="A3" s="6">
        <v>60</v>
      </c>
      <c r="B3" s="6">
        <v>0</v>
      </c>
      <c r="C3" s="6">
        <v>0</v>
      </c>
    </row>
    <row r="4" spans="1:3">
      <c r="A4" s="6">
        <v>70</v>
      </c>
      <c r="B4" s="6">
        <v>0</v>
      </c>
      <c r="C4" s="6">
        <v>0</v>
      </c>
    </row>
    <row r="5" spans="1:3">
      <c r="A5" s="6">
        <v>80</v>
      </c>
      <c r="B5" s="6">
        <v>0</v>
      </c>
      <c r="C5" s="6">
        <v>0</v>
      </c>
    </row>
    <row r="6" spans="1:3">
      <c r="A6" s="6">
        <v>90</v>
      </c>
      <c r="B6" s="6">
        <v>0.586468106579357</v>
      </c>
      <c r="C6" s="6">
        <v>0</v>
      </c>
    </row>
    <row r="7" spans="1:3">
      <c r="A7" s="6">
        <v>100</v>
      </c>
      <c r="B7" s="6">
        <v>1.2647643859247699</v>
      </c>
      <c r="C7" s="6">
        <v>0</v>
      </c>
    </row>
    <row r="8" spans="1:3">
      <c r="A8" s="6">
        <v>110</v>
      </c>
      <c r="B8" s="6">
        <v>1.0162708960434701</v>
      </c>
      <c r="C8" s="6">
        <v>3.81940023842317E-2</v>
      </c>
    </row>
    <row r="9" spans="1:3">
      <c r="A9" s="6">
        <v>120</v>
      </c>
      <c r="B9" s="6">
        <v>0.75721569939035505</v>
      </c>
      <c r="C9" s="6">
        <v>0.24305274244511099</v>
      </c>
    </row>
    <row r="10" spans="1:3">
      <c r="A10" s="6">
        <v>130</v>
      </c>
      <c r="B10" s="6">
        <v>0.85696515223526804</v>
      </c>
      <c r="C10" s="6">
        <v>0.21643268017731301</v>
      </c>
    </row>
    <row r="11" spans="1:3">
      <c r="A11" s="6">
        <v>140</v>
      </c>
      <c r="B11" s="6">
        <v>1.8409641664759699</v>
      </c>
      <c r="C11" s="6">
        <v>0.16434994965336</v>
      </c>
    </row>
    <row r="12" spans="1:3">
      <c r="A12" s="6">
        <v>150</v>
      </c>
      <c r="B12" s="6">
        <v>3.0150739026093301</v>
      </c>
      <c r="C12" s="6">
        <v>0.42360620826147799</v>
      </c>
    </row>
    <row r="13" spans="1:3">
      <c r="A13" s="6">
        <v>160</v>
      </c>
      <c r="B13" s="6">
        <v>2.51163254648618</v>
      </c>
      <c r="C13" s="6">
        <v>0.66087198064837205</v>
      </c>
    </row>
    <row r="14" spans="1:3">
      <c r="A14" s="6">
        <v>170</v>
      </c>
      <c r="B14" s="6">
        <v>2.0803628533037601</v>
      </c>
      <c r="C14" s="6">
        <v>0.79512968599900502</v>
      </c>
    </row>
    <row r="15" spans="1:3">
      <c r="A15" s="6">
        <v>180</v>
      </c>
      <c r="B15" s="6">
        <v>2.12789053377693</v>
      </c>
      <c r="C15" s="6">
        <v>1.00693279012974</v>
      </c>
    </row>
    <row r="16" spans="1:3">
      <c r="A16" s="6">
        <v>190</v>
      </c>
      <c r="B16" s="6">
        <v>1.9788531159968801</v>
      </c>
      <c r="C16" s="6">
        <v>1.3066978391453801</v>
      </c>
    </row>
    <row r="17" spans="1:3">
      <c r="A17" s="6">
        <v>200</v>
      </c>
      <c r="B17" s="6">
        <v>2.1983019122556899</v>
      </c>
      <c r="C17" s="6">
        <v>2.9918635200981498</v>
      </c>
    </row>
    <row r="18" spans="1:3">
      <c r="A18" s="6">
        <v>210</v>
      </c>
      <c r="B18" s="6">
        <v>2.01552570895457</v>
      </c>
      <c r="C18" s="6">
        <v>4.7846668441337501</v>
      </c>
    </row>
    <row r="19" spans="1:3">
      <c r="A19" s="6">
        <v>220</v>
      </c>
      <c r="B19" s="6">
        <v>1.95098194534904</v>
      </c>
      <c r="C19" s="6">
        <v>3.96754667191352</v>
      </c>
    </row>
    <row r="20" spans="1:3">
      <c r="A20" s="6">
        <v>230</v>
      </c>
      <c r="B20" s="6">
        <v>2.4682121964242798</v>
      </c>
      <c r="C20" s="6">
        <v>3.86222381685397</v>
      </c>
    </row>
    <row r="21" spans="1:3">
      <c r="A21" s="6">
        <v>240</v>
      </c>
      <c r="B21" s="6">
        <v>2.20563643084723</v>
      </c>
      <c r="C21" s="6">
        <v>3.6828277450492499</v>
      </c>
    </row>
    <row r="22" spans="1:3">
      <c r="A22" s="6">
        <v>250</v>
      </c>
      <c r="B22" s="6">
        <v>1.9600767484025401</v>
      </c>
      <c r="C22" s="6">
        <v>3.9038900012731301</v>
      </c>
    </row>
    <row r="23" spans="1:3">
      <c r="A23" s="6">
        <v>260</v>
      </c>
      <c r="B23" s="6">
        <v>1.14594518474185</v>
      </c>
      <c r="C23" s="6">
        <v>3.94439879168065</v>
      </c>
    </row>
    <row r="24" spans="1:3">
      <c r="A24" s="6">
        <v>270</v>
      </c>
      <c r="B24" s="6">
        <v>1.86443462596889</v>
      </c>
      <c r="C24" s="6">
        <v>3.7129199893519802</v>
      </c>
    </row>
    <row r="25" spans="1:3">
      <c r="A25" s="6">
        <v>280</v>
      </c>
      <c r="B25" s="6">
        <v>1.72830596090995</v>
      </c>
      <c r="C25" s="6">
        <v>4.4571243388386703</v>
      </c>
    </row>
    <row r="26" spans="1:3">
      <c r="A26" s="6">
        <v>290</v>
      </c>
      <c r="B26" s="6">
        <v>1.6033257641101499</v>
      </c>
      <c r="C26" s="6">
        <v>4.0011110982511804</v>
      </c>
    </row>
    <row r="27" spans="1:3">
      <c r="A27" s="6">
        <v>300</v>
      </c>
      <c r="B27" s="6">
        <v>1.6059661908031</v>
      </c>
      <c r="C27" s="6">
        <v>4.4108285783729402</v>
      </c>
    </row>
    <row r="28" spans="1:3">
      <c r="A28" s="6">
        <v>310</v>
      </c>
      <c r="B28" s="6">
        <v>1.66698938548469</v>
      </c>
      <c r="C28" s="6">
        <v>4.0381477066237697</v>
      </c>
    </row>
    <row r="29" spans="1:3">
      <c r="A29" s="6">
        <v>320</v>
      </c>
      <c r="B29" s="6">
        <v>1.6514402060706299</v>
      </c>
      <c r="C29" s="6">
        <v>3.8321315725512402</v>
      </c>
    </row>
    <row r="30" spans="1:3">
      <c r="A30" s="6">
        <v>330</v>
      </c>
      <c r="B30" s="6">
        <v>1.7418014751183799</v>
      </c>
      <c r="C30" s="6">
        <v>3.8460203006909599</v>
      </c>
    </row>
    <row r="31" spans="1:3">
      <c r="A31" s="6">
        <v>340</v>
      </c>
      <c r="B31" s="6">
        <v>1.9289783895744199</v>
      </c>
      <c r="C31" s="6">
        <v>3.6573650767930901</v>
      </c>
    </row>
    <row r="32" spans="1:3">
      <c r="A32" s="6">
        <v>350</v>
      </c>
      <c r="B32" s="6">
        <v>1.9979228643348801</v>
      </c>
      <c r="C32" s="6">
        <v>3.9143065473779202</v>
      </c>
    </row>
    <row r="33" spans="1:5">
      <c r="A33" s="6">
        <v>360</v>
      </c>
      <c r="B33" s="6">
        <v>2.25580453801334</v>
      </c>
      <c r="C33" s="6">
        <v>4.06013819284499</v>
      </c>
    </row>
    <row r="34" spans="1:5">
      <c r="A34" s="6">
        <v>370</v>
      </c>
      <c r="B34" s="6">
        <v>2.6210635638719202</v>
      </c>
      <c r="C34" s="6">
        <v>4.5092070693626196</v>
      </c>
    </row>
    <row r="35" spans="1:5">
      <c r="A35" s="6">
        <v>380</v>
      </c>
      <c r="B35" s="6">
        <v>2.8683835307785701</v>
      </c>
      <c r="C35" s="6">
        <v>5.5716947720512504</v>
      </c>
    </row>
    <row r="36" spans="1:5">
      <c r="A36" s="6">
        <v>390</v>
      </c>
      <c r="B36" s="6">
        <v>3.7488191425067598</v>
      </c>
      <c r="C36" s="6">
        <v>8.7117047256397502</v>
      </c>
    </row>
    <row r="37" spans="1:5">
      <c r="A37" s="6">
        <v>400</v>
      </c>
      <c r="B37" s="6">
        <v>25.802543024286098</v>
      </c>
      <c r="C37" s="6">
        <v>5.78465527019363</v>
      </c>
    </row>
    <row r="38" spans="1:5">
      <c r="A38" s="6">
        <v>410</v>
      </c>
      <c r="B38" s="6">
        <v>14.732114042962699</v>
      </c>
      <c r="C38" s="6">
        <v>2.8471892686427198</v>
      </c>
    </row>
    <row r="39" spans="1:5">
      <c r="A39" s="6">
        <v>420</v>
      </c>
      <c r="B39" s="6">
        <v>0.20096580940813399</v>
      </c>
      <c r="C39" s="6">
        <v>0.65277022256686801</v>
      </c>
    </row>
    <row r="40" spans="1:5">
      <c r="A40" s="6">
        <v>430</v>
      </c>
      <c r="B40" s="6">
        <v>0</v>
      </c>
      <c r="C40" s="6">
        <v>0</v>
      </c>
    </row>
    <row r="41" spans="1:5">
      <c r="A41" s="6">
        <v>440</v>
      </c>
      <c r="B41" s="6">
        <v>0</v>
      </c>
      <c r="C41" s="6">
        <v>0</v>
      </c>
    </row>
    <row r="42" spans="1:5">
      <c r="A42" s="6">
        <v>450</v>
      </c>
      <c r="B42" s="6">
        <v>0</v>
      </c>
      <c r="C42" s="6">
        <v>0</v>
      </c>
    </row>
    <row r="44" spans="1:5" ht="16.2">
      <c r="B44" s="2" t="s">
        <v>48</v>
      </c>
      <c r="C44" s="2" t="s">
        <v>49</v>
      </c>
      <c r="D44" s="2" t="s">
        <v>50</v>
      </c>
      <c r="E44" s="2" t="s">
        <v>51</v>
      </c>
    </row>
    <row r="45" spans="1:5">
      <c r="A45" s="2" t="s">
        <v>4</v>
      </c>
      <c r="B45" s="2">
        <v>86401</v>
      </c>
      <c r="C45" s="2">
        <v>5820</v>
      </c>
      <c r="D45" s="7">
        <v>6.7360331477644904</v>
      </c>
      <c r="E45" s="2">
        <v>414.07</v>
      </c>
    </row>
    <row r="46" spans="1:5">
      <c r="A46" s="2" t="s">
        <v>5</v>
      </c>
      <c r="B46" s="2">
        <v>340854</v>
      </c>
      <c r="C46" s="2">
        <v>134614</v>
      </c>
      <c r="D46" s="7">
        <v>39.4931554272504</v>
      </c>
      <c r="E46" s="2">
        <v>413.82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Surface roughness</vt:lpstr>
      <vt:lpstr>XCT-resolved defect volume frac</vt:lpstr>
      <vt:lpstr>Experimental fatigue data and B</vt:lpstr>
      <vt:lpstr>Finite element analysis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周溢</dc:creator>
  <cp:lastModifiedBy>Zhou Yi</cp:lastModifiedBy>
  <dcterms:created xsi:type="dcterms:W3CDTF">2023-05-12T11:15:00Z</dcterms:created>
  <dcterms:modified xsi:type="dcterms:W3CDTF">2026-08-31T05:18:46Z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